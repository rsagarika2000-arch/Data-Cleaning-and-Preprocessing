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3a3adc7bf4f5f0/Desktop/"/>
    </mc:Choice>
  </mc:AlternateContent>
  <xr:revisionPtr revIDLastSave="70" documentId="8_{5B770CF6-256B-4E7B-A0E9-EF56EB53340F}" xr6:coauthVersionLast="47" xr6:coauthVersionMax="47" xr10:uidLastSave="{04CE842D-7150-463D-B552-6F195DD26E5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2" i="1"/>
  <c r="T2" i="1" a="1"/>
  <c r="T2" i="1" s="1"/>
  <c r="T1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12" i="1"/>
  <c r="O2" i="1"/>
  <c r="M3" i="1"/>
  <c r="M4" i="1"/>
  <c r="M5" i="1"/>
  <c r="M6" i="1"/>
  <c r="M7" i="1"/>
  <c r="M8" i="1"/>
  <c r="M9" i="1"/>
  <c r="M10" i="1"/>
  <c r="M11" i="1"/>
  <c r="M12" i="1"/>
  <c r="M2" i="1"/>
  <c r="N2" i="1"/>
  <c r="N3" i="1"/>
  <c r="N4" i="1"/>
  <c r="N5" i="1"/>
  <c r="N6" i="1"/>
  <c r="N7" i="1"/>
  <c r="N8" i="1"/>
  <c r="N9" i="1"/>
  <c r="N10" i="1"/>
  <c r="N11" i="1"/>
  <c r="N12" i="1"/>
  <c r="L2" i="1"/>
  <c r="L3" i="1"/>
  <c r="L4" i="1"/>
  <c r="L5" i="1"/>
  <c r="L6" i="1"/>
  <c r="L7" i="1"/>
  <c r="L8" i="1"/>
  <c r="L9" i="1"/>
  <c r="L10" i="1"/>
  <c r="L11" i="1"/>
  <c r="L12" i="1"/>
  <c r="K3" i="1"/>
  <c r="K4" i="1"/>
  <c r="K5" i="1"/>
  <c r="K6" i="1"/>
  <c r="K7" i="1"/>
  <c r="K8" i="1"/>
  <c r="K9" i="1"/>
  <c r="K10" i="1"/>
  <c r="K11" i="1"/>
  <c r="K1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<sst xmlns="http://schemas.openxmlformats.org/spreadsheetml/2006/main" count="92" uniqueCount="78">
  <si>
    <t>Customer_ID</t>
  </si>
  <si>
    <t>Name</t>
  </si>
  <si>
    <t>Gender</t>
  </si>
  <si>
    <t>Age</t>
  </si>
  <si>
    <t>Country</t>
  </si>
  <si>
    <t>Date_of_Purchase</t>
  </si>
  <si>
    <t>Product</t>
  </si>
  <si>
    <t>Quantity</t>
  </si>
  <si>
    <t>Unit_Price</t>
  </si>
  <si>
    <t>Amount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</si>
  <si>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</si>
  <si>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</si>
  <si>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</si>
  <si>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</si>
  <si>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</si>
  <si>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</si>
  <si>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</si>
  <si>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</si>
  <si>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</si>
  <si>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</si>
  <si>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 xml:space="preserve">  rahul sharma</t>
  </si>
  <si>
    <t xml:space="preserve">PRIYA </t>
  </si>
  <si>
    <t>Amit kumar</t>
  </si>
  <si>
    <t>Sneha Das</t>
  </si>
  <si>
    <t>John Smith</t>
  </si>
  <si>
    <t>Mira   Patel</t>
  </si>
  <si>
    <t xml:space="preserve">Arjun  </t>
  </si>
  <si>
    <t>Nina</t>
  </si>
  <si>
    <t xml:space="preserve">Rajeev </t>
  </si>
  <si>
    <t>Akash</t>
  </si>
  <si>
    <t>male</t>
  </si>
  <si>
    <t>FEMALE</t>
  </si>
  <si>
    <t xml:space="preserve">Male </t>
  </si>
  <si>
    <t>femal</t>
  </si>
  <si>
    <t>MALE</t>
  </si>
  <si>
    <t>Female</t>
  </si>
  <si>
    <t xml:space="preserve"> Male</t>
  </si>
  <si>
    <t>29</t>
  </si>
  <si>
    <t>35</t>
  </si>
  <si>
    <t>27</t>
  </si>
  <si>
    <t>45</t>
  </si>
  <si>
    <t>twenty</t>
  </si>
  <si>
    <t>31</t>
  </si>
  <si>
    <t>24</t>
  </si>
  <si>
    <t>999</t>
  </si>
  <si>
    <t>28</t>
  </si>
  <si>
    <t>India</t>
  </si>
  <si>
    <t>india</t>
  </si>
  <si>
    <t>USA</t>
  </si>
  <si>
    <t>UK</t>
  </si>
  <si>
    <t>Canada</t>
  </si>
  <si>
    <t>UAE</t>
  </si>
  <si>
    <t>12/05/24</t>
  </si>
  <si>
    <t>2024-05-18</t>
  </si>
  <si>
    <t>05/06/2024</t>
  </si>
  <si>
    <t>06/06/24</t>
  </si>
  <si>
    <t>07/06/24</t>
  </si>
  <si>
    <t>08/06/2024</t>
  </si>
  <si>
    <t>06/15/2024</t>
  </si>
  <si>
    <t>15/06/24</t>
  </si>
  <si>
    <t>16-06-2024</t>
  </si>
  <si>
    <t>06/18/24</t>
  </si>
  <si>
    <t>Laptop</t>
  </si>
  <si>
    <t>Mobile</t>
  </si>
  <si>
    <t>Tablet</t>
  </si>
  <si>
    <t>Headphones</t>
  </si>
  <si>
    <t>Keyboard</t>
  </si>
  <si>
    <t>Mouse</t>
  </si>
  <si>
    <t>Monitor</t>
  </si>
  <si>
    <t>Charger</t>
  </si>
  <si>
    <t>Name_Clean</t>
  </si>
  <si>
    <t>Gender_Clean</t>
  </si>
  <si>
    <t>Country_Std</t>
  </si>
  <si>
    <t>Age_Number</t>
  </si>
  <si>
    <t>Purchase_Date</t>
  </si>
  <si>
    <t>Amount_Calc</t>
  </si>
  <si>
    <t>Duplicate_Flag</t>
  </si>
  <si>
    <t>Amount_Outlier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</si>
</sst>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H1" zoomScale="120" zoomScaleNormal="120" workbookViewId="0">
      <selection activeCell="O9" sqref="O9"/>
    </sheetView>
  </sheetViews>
  <sheetFormatPr defaultRowHeight="14.4" x14ac:dyDescent="0.3"/>
  <cols>
    <col min="1" max="1" width="12.33203125" customWidth="1"/>
    <col min="2" max="2" width="13.44140625" customWidth="1"/>
    <col min="6" max="6" width="16.109375" customWidth="1"/>
    <col min="9" max="9" width="13" customWidth="1"/>
    <col min="11" max="11" width="14.109375" customWidth="1"/>
    <col min="12" max="13" width="13" customWidth="1"/>
    <col min="14" max="14" width="11.88671875" customWidth="1"/>
    <col min="15" max="15" width="13.77734375" customWidth="1"/>
    <col min="16" max="16" width="11.6640625" customWidth="1"/>
    <col min="17" max="17" width="14.33203125" customWidth="1"/>
    <col min="18" max="18" width="12.44140625" customWidth="1"/>
  </cols>
  <sheetData>
    <row r="1" spans="1:20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70</v>
      </c>
      <c r="L1" s="2" t="s">
        <v>71</v>
      </c>
      <c r="M1" s="2" t="s">
        <v>73</v>
      </c>
      <c r="N1" s="3" t="s">
        <v>72</v>
      </c>
      <c r="O1" s="3" t="s">
        <v>74</v>
      </c>
      <c r="P1" s="3" t="s">
        <v>75</v>
      </c>
      <c r="Q1" s="5" t="s">
        <v>76</v>
      </c>
      <c r="R1" s="5" t="s">
        <v>77</v>
      </c>
      <c r="T1" s="5">
        <f>AVERAGEIF(P:P, "&lt;&gt;")</f>
        <v>21140</v>
      </c>
    </row>
    <row r="2" spans="1:20" x14ac:dyDescent="0.3">
      <c r="A2" t="s">
        <v>10</v>
      </c>
      <c r="B2" t="s">
        <v>20</v>
      </c>
      <c r="C2" t="s">
        <v>30</v>
      </c>
      <c r="D2" t="s">
        <v>37</v>
      </c>
      <c r="E2" t="s">
        <v>46</v>
      </c>
      <c r="F2" t="s">
        <v>52</v>
      </c>
      <c r="G2" t="s">
        <v>62</v>
      </c>
      <c r="H2">
        <v>1</v>
      </c>
      <c r="I2">
        <v>55000</v>
      </c>
      <c r="J2">
        <v>55000</v>
      </c>
      <c r="K2" t="str">
        <f>PROPER(TRIM(B2))</f>
        <v>Rahul Sharma</v>
      </c>
      <c r="L2" t="str">
        <f>IF(TRIM(C2)="","Unknown",
IF(OR(LOWER(TRIM(C2))="m",LOWER(TRIM(C2))="male"),"Male",
IF(OR(LOWER(TRIM(C2))="f",LOWER(TRIM(C2))="female",LOWER(TRIM(C2))="femal"),"Female","Unknown")))</f>
        <v>Male</v>
      </c>
      <c r="M2">
        <f>_xlfn.LET(_xlpm.a,TRIM(D2), IF(_xlpm.a="", "", IF(LOWER(_xlpm.a)="twenty",20, IFERROR(VALUE(_xlpm.a), ""))))</f>
        <v>29</v>
      </c>
      <c r="N2" t="str">
        <f>PROPER(TRIM(E2))</f>
        <v>India</v>
      </c>
      <c r="O2" s="4">
        <f>IF(F2="","", IFERROR(DATEVALUE(F2), IFERROR(DATEVALUE(SUBSTITUTE(F2,"-","/")),"")))</f>
        <v>45424</v>
      </c>
      <c r="P2">
        <f>IF(J2&lt;&gt;"", VALUE(J2), IF(AND(H2&lt;&gt;"", I2&lt;&gt;""), H2 * I2, ""))</f>
        <v>55000</v>
      </c>
      <c r="Q2" t="str">
        <f>IF(COUNTIFS($A$2:$A2,$A2,$O$2:$O2,$O2,$G$2:$G2,$G2)&gt;1,"Duplicate","Unique")</f>
        <v>Unique</v>
      </c>
      <c r="R2" t="str">
        <f>IF(P2="", "", IF(ABS((P2 - $T$1)/$T$2) &gt; 3, "Outlier", "OK"))</f>
        <v>OK</v>
      </c>
      <c r="T2" cm="1">
        <f t="array" ref="T2">_xlfn.STDEV.P(IF(P:P&lt;&gt;"",P:P))</f>
        <v>19736.929852436522</v>
      </c>
    </row>
    <row r="3" spans="1:20" x14ac:dyDescent="0.3">
      <c r="A3" t="s">
        <v>11</v>
      </c>
      <c r="B3" t="s">
        <v>21</v>
      </c>
      <c r="C3" t="s">
        <v>31</v>
      </c>
      <c r="E3" t="s">
        <v>46</v>
      </c>
      <c r="F3" t="s">
        <v>53</v>
      </c>
      <c r="G3" t="s">
        <v>63</v>
      </c>
      <c r="H3">
        <v>2</v>
      </c>
      <c r="I3">
        <v>15000</v>
      </c>
      <c r="J3">
        <v>30000</v>
      </c>
      <c r="K3" t="str">
        <f t="shared" ref="K3:K12" si="0">PROPER(TRIM(B3))</f>
        <v>Priya</v>
      </c>
      <c r="L3" t="str">
        <f t="shared" ref="L3:L12" si="1">IF(TRIM(C3)="","Unknown",
IF(OR(LOWER(TRIM(C3))="m",LOWER(TRIM(C3))="male"),"Male",
IF(OR(LOWER(TRIM(C3))="f",LOWER(TRIM(C3))="female",LOWER(TRIM(C3))="femal"),"Female","Unknown")))</f>
        <v>Female</v>
      </c>
      <c r="M3" t="str">
        <f t="shared" ref="M3:M12" si="2">_xlfn.LET(_xlpm.a,TRIM(D3), IF(_xlpm.a="", "", IF(LOWER(_xlpm.a)="twenty",20, IFERROR(VALUE(_xlpm.a), ""))))</f>
        <v/>
      </c>
      <c r="N3" t="str">
        <f t="shared" ref="N3:N12" si="3">PROPER(TRIM(E3))</f>
        <v>India</v>
      </c>
      <c r="O3" s="4">
        <f t="shared" ref="O3:O12" si="4">IF(F3="","", IFERROR(DATEVALUE(F3), IFERROR(DATEVALUE(SUBSTITUTE(F3,"-","/")),"")))</f>
        <v>45430</v>
      </c>
      <c r="P3">
        <f t="shared" ref="P3:P11" si="5">IF(J3&lt;&gt;"", VALUE(J3), IF(AND(H3&lt;&gt;"", I3&lt;&gt;""), H3 * I3, ""))</f>
        <v>30000</v>
      </c>
      <c r="Q3" t="str">
        <f>IF(COUNTIFS($A$2:$A3,$A3,$O$2:$O3,$O3,$G$2:$G3,$G3)&gt;1,"Duplicate","Unique")</f>
        <v>Unique</v>
      </c>
      <c r="R3" t="str">
        <f t="shared" ref="R3:R11" si="6">IF(P3="", "", IF(ABS((P3 - $T$1)/$T$2) &gt; 3, "Outlier", "OK"))</f>
        <v>OK</v>
      </c>
    </row>
    <row r="4" spans="1:20" x14ac:dyDescent="0.3">
      <c r="A4" t="s">
        <v>12</v>
      </c>
      <c r="B4" t="s">
        <v>22</v>
      </c>
      <c r="C4" t="s">
        <v>32</v>
      </c>
      <c r="D4" t="s">
        <v>38</v>
      </c>
      <c r="E4" t="s">
        <v>47</v>
      </c>
      <c r="F4" t="s">
        <v>54</v>
      </c>
      <c r="G4" t="s">
        <v>64</v>
      </c>
      <c r="H4">
        <v>1</v>
      </c>
      <c r="I4">
        <v>18000</v>
      </c>
      <c r="J4">
        <v>18000</v>
      </c>
      <c r="K4" t="str">
        <f t="shared" si="0"/>
        <v>Amit Kumar</v>
      </c>
      <c r="L4" t="str">
        <f t="shared" si="1"/>
        <v>Male</v>
      </c>
      <c r="M4">
        <f t="shared" si="2"/>
        <v>35</v>
      </c>
      <c r="N4" t="str">
        <f t="shared" si="3"/>
        <v>India</v>
      </c>
      <c r="O4" s="4">
        <f t="shared" si="4"/>
        <v>45448</v>
      </c>
      <c r="P4">
        <f t="shared" si="5"/>
        <v>18000</v>
      </c>
      <c r="Q4" t="str">
        <f>IF(COUNTIFS($A$2:$A4,$A4,$O$2:$O4,$O4,$G$2:$G4,$G4)&gt;1,"Duplicate","Unique")</f>
        <v>Unique</v>
      </c>
      <c r="R4" t="str">
        <f t="shared" si="6"/>
        <v>OK</v>
      </c>
    </row>
    <row r="5" spans="1:20" x14ac:dyDescent="0.3">
      <c r="A5" t="s">
        <v>13</v>
      </c>
      <c r="B5" t="s">
        <v>23</v>
      </c>
      <c r="C5" t="s">
        <v>33</v>
      </c>
      <c r="D5" t="s">
        <v>39</v>
      </c>
      <c r="E5" t="s">
        <v>48</v>
      </c>
      <c r="F5" t="s">
        <v>55</v>
      </c>
      <c r="G5" t="s">
        <v>65</v>
      </c>
      <c r="H5">
        <v>3</v>
      </c>
      <c r="I5">
        <v>2000</v>
      </c>
      <c r="J5">
        <v>6000</v>
      </c>
      <c r="K5" t="str">
        <f t="shared" si="0"/>
        <v>Sneha Das</v>
      </c>
      <c r="L5" t="str">
        <f t="shared" si="1"/>
        <v>Female</v>
      </c>
      <c r="M5">
        <f t="shared" si="2"/>
        <v>27</v>
      </c>
      <c r="N5" t="str">
        <f t="shared" si="3"/>
        <v>Usa</v>
      </c>
      <c r="O5" s="4">
        <f t="shared" si="4"/>
        <v>45449</v>
      </c>
      <c r="P5">
        <f t="shared" si="5"/>
        <v>6000</v>
      </c>
      <c r="Q5" t="str">
        <f>IF(COUNTIFS($A$2:$A5,$A5,$O$2:$O5,$O5,$G$2:$G5,$G5)&gt;1,"Duplicate","Unique")</f>
        <v>Unique</v>
      </c>
      <c r="R5" t="str">
        <f t="shared" si="6"/>
        <v>OK</v>
      </c>
    </row>
    <row r="6" spans="1:20" x14ac:dyDescent="0.3">
      <c r="A6" t="s">
        <v>14</v>
      </c>
      <c r="B6" t="s">
        <v>24</v>
      </c>
      <c r="C6" t="s">
        <v>34</v>
      </c>
      <c r="D6" t="s">
        <v>40</v>
      </c>
      <c r="E6" t="s">
        <v>48</v>
      </c>
      <c r="F6" t="s">
        <v>56</v>
      </c>
      <c r="G6" t="s">
        <v>66</v>
      </c>
      <c r="H6">
        <v>1</v>
      </c>
      <c r="I6">
        <v>1500</v>
      </c>
      <c r="J6">
        <v>1500</v>
      </c>
      <c r="K6" t="str">
        <f t="shared" si="0"/>
        <v>John Smith</v>
      </c>
      <c r="L6" t="str">
        <f t="shared" si="1"/>
        <v>Male</v>
      </c>
      <c r="M6">
        <f t="shared" si="2"/>
        <v>45</v>
      </c>
      <c r="N6" t="str">
        <f t="shared" si="3"/>
        <v>Usa</v>
      </c>
      <c r="O6" s="4">
        <f t="shared" si="4"/>
        <v>45450</v>
      </c>
      <c r="P6">
        <f t="shared" si="5"/>
        <v>1500</v>
      </c>
      <c r="Q6" t="str">
        <f>IF(COUNTIFS($A$2:$A6,$A6,$O$2:$O6,$O6,$G$2:$G6,$G6)&gt;1,"Duplicate","Unique")</f>
        <v>Unique</v>
      </c>
      <c r="R6" t="str">
        <f t="shared" si="6"/>
        <v>OK</v>
      </c>
    </row>
    <row r="7" spans="1:20" x14ac:dyDescent="0.3">
      <c r="A7" t="s">
        <v>11</v>
      </c>
      <c r="B7" t="s">
        <v>21</v>
      </c>
      <c r="C7" t="s">
        <v>31</v>
      </c>
      <c r="E7" t="s">
        <v>46</v>
      </c>
      <c r="F7" t="s">
        <v>53</v>
      </c>
      <c r="G7" t="s">
        <v>63</v>
      </c>
      <c r="H7">
        <v>2</v>
      </c>
      <c r="I7">
        <v>15000</v>
      </c>
      <c r="J7">
        <v>30000</v>
      </c>
      <c r="K7" t="str">
        <f t="shared" si="0"/>
        <v>Priya</v>
      </c>
      <c r="L7" t="str">
        <f t="shared" si="1"/>
        <v>Female</v>
      </c>
      <c r="M7" t="str">
        <f t="shared" si="2"/>
        <v/>
      </c>
      <c r="N7" t="str">
        <f t="shared" si="3"/>
        <v>India</v>
      </c>
      <c r="O7" s="4">
        <f t="shared" si="4"/>
        <v>45430</v>
      </c>
      <c r="P7">
        <f t="shared" si="5"/>
        <v>30000</v>
      </c>
      <c r="Q7" t="str">
        <f>IF(COUNTIFS($A$2:$A7,$A7,$O$2:$O7,$O7,$G$2:$G7,$G7)&gt;1,"Duplicate","Unique")</f>
        <v>Duplicate</v>
      </c>
      <c r="R7" t="str">
        <f t="shared" si="6"/>
        <v>OK</v>
      </c>
    </row>
    <row r="8" spans="1:20" x14ac:dyDescent="0.3">
      <c r="A8" t="s">
        <v>15</v>
      </c>
      <c r="B8" t="s">
        <v>25</v>
      </c>
      <c r="C8" t="s">
        <v>35</v>
      </c>
      <c r="D8" t="s">
        <v>41</v>
      </c>
      <c r="E8" t="s">
        <v>49</v>
      </c>
      <c r="F8" t="s">
        <v>57</v>
      </c>
      <c r="G8" t="s">
        <v>67</v>
      </c>
      <c r="H8">
        <v>2</v>
      </c>
      <c r="I8">
        <v>700</v>
      </c>
      <c r="J8">
        <v>1400</v>
      </c>
      <c r="K8" t="str">
        <f t="shared" si="0"/>
        <v>Mira Patel</v>
      </c>
      <c r="L8" t="str">
        <f t="shared" si="1"/>
        <v>Female</v>
      </c>
      <c r="M8">
        <f t="shared" si="2"/>
        <v>20</v>
      </c>
      <c r="N8" t="str">
        <f t="shared" si="3"/>
        <v>Uk</v>
      </c>
      <c r="O8" s="4">
        <f t="shared" si="4"/>
        <v>45451</v>
      </c>
      <c r="P8">
        <f t="shared" si="5"/>
        <v>1400</v>
      </c>
      <c r="Q8" t="str">
        <f>IF(COUNTIFS($A$2:$A8,$A8,$O$2:$O8,$O8,$G$2:$G8,$G8)&gt;1,"Duplicate","Unique")</f>
        <v>Unique</v>
      </c>
      <c r="R8" t="str">
        <f t="shared" si="6"/>
        <v>OK</v>
      </c>
    </row>
    <row r="9" spans="1:20" x14ac:dyDescent="0.3">
      <c r="A9" t="s">
        <v>16</v>
      </c>
      <c r="B9" t="s">
        <v>26</v>
      </c>
      <c r="C9" t="s">
        <v>36</v>
      </c>
      <c r="D9" t="s">
        <v>42</v>
      </c>
      <c r="E9" t="s">
        <v>50</v>
      </c>
      <c r="F9" t="s">
        <v>58</v>
      </c>
      <c r="G9" t="s">
        <v>68</v>
      </c>
      <c r="H9">
        <v>1</v>
      </c>
      <c r="I9">
        <v>12000</v>
      </c>
      <c r="J9">
        <v>12000</v>
      </c>
      <c r="K9" t="str">
        <f t="shared" si="0"/>
        <v>Arjun</v>
      </c>
      <c r="L9" t="str">
        <f t="shared" si="1"/>
        <v>Male</v>
      </c>
      <c r="M9">
        <f t="shared" si="2"/>
        <v>31</v>
      </c>
      <c r="N9" t="str">
        <f t="shared" si="3"/>
        <v>Canada</v>
      </c>
      <c r="O9" s="4" t="str">
        <f t="shared" si="4"/>
        <v/>
      </c>
      <c r="P9">
        <f t="shared" si="5"/>
        <v>12000</v>
      </c>
      <c r="Q9" t="str">
        <f>IF(COUNTIFS($A$2:$A9,$A9,$O$2:$O9,$O9,$G$2:$G9,$G9)&gt;1,"Duplicate","Unique")</f>
        <v>Unique</v>
      </c>
      <c r="R9" t="str">
        <f t="shared" si="6"/>
        <v>OK</v>
      </c>
    </row>
    <row r="10" spans="1:20" x14ac:dyDescent="0.3">
      <c r="A10" t="s">
        <v>17</v>
      </c>
      <c r="B10" t="s">
        <v>27</v>
      </c>
      <c r="C10" t="s">
        <v>35</v>
      </c>
      <c r="D10" t="s">
        <v>43</v>
      </c>
      <c r="E10" t="s">
        <v>46</v>
      </c>
      <c r="F10" t="s">
        <v>59</v>
      </c>
      <c r="G10" t="s">
        <v>69</v>
      </c>
      <c r="H10">
        <v>5</v>
      </c>
      <c r="I10">
        <v>500</v>
      </c>
      <c r="J10">
        <v>2500</v>
      </c>
      <c r="K10" t="str">
        <f t="shared" si="0"/>
        <v>Nina</v>
      </c>
      <c r="L10" t="str">
        <f t="shared" si="1"/>
        <v>Female</v>
      </c>
      <c r="M10">
        <f t="shared" si="2"/>
        <v>24</v>
      </c>
      <c r="N10" t="str">
        <f t="shared" si="3"/>
        <v>India</v>
      </c>
      <c r="O10" s="4">
        <f t="shared" si="4"/>
        <v>45458</v>
      </c>
      <c r="P10">
        <f t="shared" si="5"/>
        <v>2500</v>
      </c>
      <c r="Q10" t="str">
        <f>IF(COUNTIFS($A$2:$A10,$A10,$O$2:$O10,$O10,$G$2:$G10,$G10)&gt;1,"Duplicate","Unique")</f>
        <v>Unique</v>
      </c>
      <c r="R10" t="str">
        <f t="shared" si="6"/>
        <v>OK</v>
      </c>
    </row>
    <row r="11" spans="1:20" x14ac:dyDescent="0.3">
      <c r="A11" t="s">
        <v>18</v>
      </c>
      <c r="B11" t="s">
        <v>28</v>
      </c>
      <c r="C11" t="s">
        <v>30</v>
      </c>
      <c r="D11" t="s">
        <v>44</v>
      </c>
      <c r="E11" t="s">
        <v>47</v>
      </c>
      <c r="F11" t="s">
        <v>60</v>
      </c>
      <c r="G11" t="s">
        <v>62</v>
      </c>
      <c r="H11">
        <v>1</v>
      </c>
      <c r="I11">
        <v>55000</v>
      </c>
      <c r="J11">
        <v>55000</v>
      </c>
      <c r="K11" t="str">
        <f t="shared" si="0"/>
        <v>Rajeev</v>
      </c>
      <c r="L11" t="str">
        <f t="shared" si="1"/>
        <v>Male</v>
      </c>
      <c r="M11">
        <f t="shared" si="2"/>
        <v>999</v>
      </c>
      <c r="N11" t="str">
        <f t="shared" si="3"/>
        <v>India</v>
      </c>
      <c r="O11" s="4">
        <f t="shared" si="4"/>
        <v>45459</v>
      </c>
      <c r="P11">
        <f t="shared" si="5"/>
        <v>55000</v>
      </c>
      <c r="Q11" t="str">
        <f>IF(COUNTIFS($A$2:$A11,$A11,$O$2:$O11,$O11,$G$2:$G11,$G11)&gt;1,"Duplicate","Unique")</f>
        <v>Unique</v>
      </c>
      <c r="R11" t="str">
        <f t="shared" si="6"/>
        <v>OK</v>
      </c>
    </row>
    <row r="12" spans="1:20" x14ac:dyDescent="0.3">
      <c r="A12" t="s">
        <v>19</v>
      </c>
      <c r="B12" t="s">
        <v>29</v>
      </c>
      <c r="D12" t="s">
        <v>45</v>
      </c>
      <c r="E12" t="s">
        <v>51</v>
      </c>
      <c r="F12" t="s">
        <v>61</v>
      </c>
      <c r="G12" t="s">
        <v>67</v>
      </c>
      <c r="H12">
        <v>2</v>
      </c>
      <c r="I12">
        <v>700</v>
      </c>
      <c r="K12" t="str">
        <f t="shared" si="0"/>
        <v>Akash</v>
      </c>
      <c r="L12" t="str">
        <f t="shared" si="1"/>
        <v>Unknown</v>
      </c>
      <c r="M12">
        <f t="shared" si="2"/>
        <v>28</v>
      </c>
      <c r="N12" t="str">
        <f t="shared" si="3"/>
        <v>Uae</v>
      </c>
      <c r="O12" s="4" t="str">
        <f t="shared" si="4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Sagarika Rout</dc:creator>
  <cp:lastModifiedBy>Sagarika Rout</cp:lastModifiedBy>
  <dcterms:created xsi:type="dcterms:W3CDTF">2025-11-13T08:26:05Z</dcterms:created>
  <dcterms:modified xsi:type="dcterms:W3CDTF">2025-11-13T14:35:00Z</dcterms:modified>
</cp:coreProperties>
</file>